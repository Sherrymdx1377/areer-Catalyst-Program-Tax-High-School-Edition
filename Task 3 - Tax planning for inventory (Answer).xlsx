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sherr\Downloads\"/>
    </mc:Choice>
  </mc:AlternateContent>
  <xr:revisionPtr revIDLastSave="0" documentId="8_{35F5986E-93CA-4262-AE83-F5F6CA0DACB3}" xr6:coauthVersionLast="47" xr6:coauthVersionMax="47" xr10:uidLastSave="{00000000-0000-0000-0000-000000000000}"/>
  <bookViews>
    <workbookView xWindow="-108" yWindow="-108" windowWidth="23256" windowHeight="12456" xr2:uid="{02C2A08B-93DC-4A52-A9D5-D3EC83945876}"/>
  </bookViews>
  <sheets>
    <sheet name="Task 3"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0" i="5" l="1"/>
  <c r="B94" i="5" s="1"/>
  <c r="B55" i="5"/>
  <c r="B59" i="5" s="1"/>
  <c r="B63" i="5" s="1"/>
  <c r="B25" i="5"/>
  <c r="B29" i="5" s="1"/>
  <c r="B62" i="5" s="1"/>
  <c r="B64" i="5" s="1"/>
  <c r="B97" i="5" l="1"/>
  <c r="B99" i="5" s="1"/>
  <c r="B98" i="5"/>
</calcChain>
</file>

<file path=xl/sharedStrings.xml><?xml version="1.0" encoding="utf-8"?>
<sst xmlns="http://schemas.openxmlformats.org/spreadsheetml/2006/main" count="74" uniqueCount="43">
  <si>
    <t>Introduction:</t>
  </si>
  <si>
    <t>Facts:</t>
  </si>
  <si>
    <t>Account Name</t>
  </si>
  <si>
    <t>Amount</t>
  </si>
  <si>
    <t xml:space="preserve">Sales Revenue </t>
  </si>
  <si>
    <t>Cost of Goods Sold - LIFO Method</t>
  </si>
  <si>
    <t>Salary Expense</t>
  </si>
  <si>
    <t>Other General &amp; Administrative Expenses</t>
  </si>
  <si>
    <t>Selling and Marketing</t>
  </si>
  <si>
    <t>Depreciation</t>
  </si>
  <si>
    <t>HINT:</t>
  </si>
  <si>
    <t>Answers:</t>
  </si>
  <si>
    <t>Cost of Goods Sold - FIFO Method</t>
  </si>
  <si>
    <t>Taxable income = sales revenue – COGS – salary expense – other general &amp; admin expenses – selling &amp; marketing – depreciation</t>
  </si>
  <si>
    <t>All other facts from above remain the same except we will replace the LIFO cost of goods sold with FIFO cost of goods sold.</t>
  </si>
  <si>
    <t>Tax liability under LIFO method = taxable income * tax rate</t>
  </si>
  <si>
    <r>
      <rPr>
        <b/>
        <i/>
        <sz val="10"/>
        <color theme="1"/>
        <rFont val="Arial"/>
        <family val="2"/>
      </rPr>
      <t>Question 1:</t>
    </r>
    <r>
      <rPr>
        <sz val="10"/>
        <color theme="1"/>
        <rFont val="Arial"/>
        <family val="2"/>
      </rPr>
      <t xml:space="preserve"> Using the chart above, calculate taxable income and tax liability given a 21% tax rate.</t>
    </r>
  </si>
  <si>
    <r>
      <t xml:space="preserve">Question 2: </t>
    </r>
    <r>
      <rPr>
        <i/>
        <sz val="10"/>
        <color theme="1"/>
        <rFont val="Arial"/>
        <family val="2"/>
      </rPr>
      <t>Using the chart above, what are the revised taxable income and tax liability amounts? How much tax savings is Scoops Inc. getting by utilizing the LIFO method instead of the FIFO method?</t>
    </r>
  </si>
  <si>
    <t>lower the projected tax liability? For example, would decreasing wages decrease the tax liability?</t>
  </si>
  <si>
    <t>Answer the six questions highlighted in yellow below. You can enter your answer right on the spreadsheet.</t>
  </si>
  <si>
    <t>Taxable Income</t>
  </si>
  <si>
    <t>Tax Rate</t>
  </si>
  <si>
    <t>Tax Liability under LIFO Method</t>
  </si>
  <si>
    <t>Tax Liability under FIFO Method</t>
  </si>
  <si>
    <r>
      <rPr>
        <b/>
        <i/>
        <sz val="8"/>
        <color theme="1"/>
        <rFont val="Arial"/>
        <family val="2"/>
      </rPr>
      <t>Question 4</t>
    </r>
    <r>
      <rPr>
        <i/>
        <sz val="8"/>
        <color theme="1"/>
        <rFont val="Arial"/>
        <family val="2"/>
      </rPr>
      <t>: Based on the calculations, which is the best inventory method to use if prices are rising?</t>
    </r>
  </si>
  <si>
    <r>
      <rPr>
        <b/>
        <i/>
        <sz val="8"/>
        <color theme="1"/>
        <rFont val="Arial"/>
        <family val="2"/>
      </rPr>
      <t>Question 5</t>
    </r>
    <r>
      <rPr>
        <i/>
        <sz val="8"/>
        <color theme="1"/>
        <rFont val="Arial"/>
        <family val="2"/>
      </rPr>
      <t>: Do you think this answer would change if the sugar prices start falling? Look at the models from Task two as a guide.</t>
    </r>
  </si>
  <si>
    <r>
      <rPr>
        <b/>
        <i/>
        <sz val="8"/>
        <color theme="1"/>
        <rFont val="Arial"/>
        <family val="2"/>
      </rPr>
      <t>Question 6</t>
    </r>
    <r>
      <rPr>
        <i/>
        <sz val="8"/>
        <color theme="1"/>
        <rFont val="Arial"/>
        <family val="2"/>
      </rPr>
      <t>: Looking at the calculation of tax liability, aside from the inventory method, can you think of other ways to</t>
    </r>
  </si>
  <si>
    <t>Tax savings using average cost method</t>
  </si>
  <si>
    <t>Total Tax under LIFO</t>
  </si>
  <si>
    <t>Tax savings using LIFO</t>
  </si>
  <si>
    <t>The LIFO method yields the lowest tax with rising prices.</t>
  </si>
  <si>
    <t>The first purchases would have the highest cost if prices are falling.</t>
  </si>
  <si>
    <t xml:space="preserve">No, lower wages would not lower taxable income and therefore tax. Accelerating expenses, such as electing a faster </t>
  </si>
  <si>
    <t>depreciation method would lower taxable income and lower tax.  Other business factors such as the impact on cash, product quality, and sales</t>
  </si>
  <si>
    <t>should be considered as part of the tax planning.</t>
  </si>
  <si>
    <t>Yes, if sugar prices were falling through the quarter, the FIFO inventory method would yield the highest COGS and lowest tax liability.</t>
  </si>
  <si>
    <t xml:space="preserve">The CFO has indicated their goal to increase expenses, and to evaluate the impact of tax inventory methods should prices decrease in the future. Below is the summarized income statement utilizing the LIFO method cost of goods sold amount. Use the amounts of COGS we calculated in Task 2 to calculate taxable income and tax liability under the three alternative inventory methods. </t>
  </si>
  <si>
    <t>Total Tax under FIFO</t>
  </si>
  <si>
    <t>All other facts from above remain the same except we will replace the FIFO cost of goods sold with average cost method of inventory.</t>
  </si>
  <si>
    <t>Total Tax under average cost</t>
  </si>
  <si>
    <t>Cost of Goods Sold - Average Cost Method</t>
  </si>
  <si>
    <t>Tax Liability under average cost method</t>
  </si>
  <si>
    <r>
      <t xml:space="preserve">Question 3: </t>
    </r>
    <r>
      <rPr>
        <i/>
        <sz val="10"/>
        <color theme="1"/>
        <rFont val="Arial"/>
        <family val="2"/>
      </rPr>
      <t>Using the chart above, what are the revised taxable income and tax liability amounts? How much tax savings is Scoops Inc. generating by using average cost compared to FIFO?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</si>
</sst>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5" x14ac:knownFonts="1">
    <font>
      <sz val="11"/>
      <color theme="1"/>
      <name val="Calibri"/>
      <family val="2"/>
      <scheme val="minor"/>
    </font>
    <font>
      <sz val="11"/>
      <color theme="1"/>
      <name val="Calibri"/>
      <family val="2"/>
      <scheme val="minor"/>
    </font>
    <font>
      <sz val="8"/>
      <color theme="1"/>
      <name val="Arial"/>
      <family val="2"/>
    </font>
    <font>
      <b/>
      <sz val="10"/>
      <color theme="1"/>
      <name val="Arial"/>
      <family val="2"/>
    </font>
    <font>
      <sz val="10"/>
      <color theme="1"/>
      <name val="Arial"/>
      <family val="2"/>
    </font>
    <font>
      <b/>
      <sz val="10"/>
      <color theme="1"/>
      <name val="Arial"/>
      <family val="2"/>
    </font>
    <font>
      <sz val="10"/>
      <color theme="1"/>
      <name val="Arial"/>
      <family val="2"/>
    </font>
    <font>
      <b/>
      <i/>
      <sz val="10"/>
      <color theme="1"/>
      <name val="Arial"/>
      <family val="2"/>
    </font>
    <font>
      <sz val="10"/>
      <color rgb="FF333333"/>
      <name val="Arial"/>
      <family val="2"/>
    </font>
    <font>
      <b/>
      <i/>
      <sz val="10"/>
      <color rgb="FF3A3A3A"/>
      <name val="Arial"/>
      <family val="2"/>
    </font>
    <font>
      <sz val="10"/>
      <color rgb="FF333333"/>
      <name val="Arial"/>
      <family val="2"/>
    </font>
    <font>
      <i/>
      <sz val="10"/>
      <color theme="1"/>
      <name val="Arial"/>
      <family val="2"/>
    </font>
    <font>
      <b/>
      <i/>
      <sz val="8"/>
      <color theme="1"/>
      <name val="Arial"/>
      <family val="2"/>
    </font>
    <font>
      <i/>
      <sz val="8"/>
      <color theme="1"/>
      <name val="Arial"/>
      <family val="2"/>
    </font>
    <font>
      <sz val="10"/>
      <color rgb="FF0070C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9" fillId="0" borderId="0" xfId="0" applyFont="1" applyAlignment="1">
      <alignment vertical="center" wrapText="1"/>
    </xf>
    <xf numFmtId="0" fontId="6" fillId="2" borderId="7" xfId="0" applyFont="1" applyFill="1" applyBorder="1" applyAlignment="1">
      <alignment horizontal="center"/>
    </xf>
    <xf numFmtId="0" fontId="6" fillId="2" borderId="8" xfId="0" applyFont="1" applyFill="1" applyBorder="1" applyAlignment="1">
      <alignment horizontal="center"/>
    </xf>
    <xf numFmtId="0" fontId="6" fillId="0" borderId="1" xfId="0" applyFont="1" applyBorder="1"/>
    <xf numFmtId="164" fontId="6" fillId="0" borderId="2" xfId="1" applyNumberFormat="1" applyFont="1" applyBorder="1"/>
    <xf numFmtId="0" fontId="6" fillId="0" borderId="3" xfId="0" applyFont="1" applyBorder="1"/>
    <xf numFmtId="164" fontId="6" fillId="0" borderId="4" xfId="1" applyNumberFormat="1" applyFont="1" applyBorder="1"/>
    <xf numFmtId="0" fontId="6" fillId="0" borderId="5" xfId="0" applyFont="1" applyBorder="1"/>
    <xf numFmtId="164" fontId="6" fillId="0" borderId="6" xfId="1" applyNumberFormat="1" applyFont="1" applyBorder="1"/>
    <xf numFmtId="164" fontId="6" fillId="0" borderId="0" xfId="1" applyNumberFormat="1" applyFont="1"/>
    <xf numFmtId="0" fontId="8" fillId="0" borderId="0" xfId="0" applyFont="1"/>
    <xf numFmtId="164" fontId="6" fillId="0" borderId="0" xfId="1" applyNumberFormat="1" applyFont="1" applyBorder="1"/>
    <xf numFmtId="0" fontId="10" fillId="0" borderId="0" xfId="0" applyFont="1"/>
    <xf numFmtId="0" fontId="6" fillId="3" borderId="0" xfId="0" applyFont="1" applyFill="1"/>
    <xf numFmtId="164" fontId="6" fillId="3" borderId="0" xfId="1" applyNumberFormat="1" applyFont="1" applyFill="1"/>
    <xf numFmtId="0" fontId="2" fillId="3" borderId="0" xfId="0" applyFont="1" applyFill="1"/>
    <xf numFmtId="0" fontId="6" fillId="4" borderId="0" xfId="0" applyFont="1" applyFill="1" applyAlignment="1">
      <alignment horizontal="left" wrapText="1"/>
    </xf>
    <xf numFmtId="0" fontId="7" fillId="3" borderId="0" xfId="0" applyFont="1" applyFill="1"/>
    <xf numFmtId="0" fontId="4" fillId="3" borderId="0" xfId="0" applyFont="1" applyFill="1"/>
    <xf numFmtId="0" fontId="13" fillId="3" borderId="0" xfId="0" applyFont="1" applyFill="1"/>
    <xf numFmtId="0" fontId="3" fillId="4" borderId="0" xfId="0" applyFont="1" applyFill="1" applyAlignment="1">
      <alignment horizontal="left" wrapText="1"/>
    </xf>
    <xf numFmtId="164" fontId="4" fillId="0" borderId="0" xfId="1" applyNumberFormat="1" applyFont="1" applyFill="1" applyBorder="1"/>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0" borderId="1" xfId="0" applyFont="1" applyBorder="1"/>
    <xf numFmtId="164" fontId="4" fillId="0" borderId="2" xfId="1" applyNumberFormat="1" applyFont="1" applyBorder="1"/>
    <xf numFmtId="0" fontId="4" fillId="0" borderId="3" xfId="0" applyFont="1" applyBorder="1"/>
    <xf numFmtId="164" fontId="4" fillId="0" borderId="4" xfId="1" applyNumberFormat="1" applyFont="1" applyBorder="1"/>
    <xf numFmtId="0" fontId="4" fillId="0" borderId="5" xfId="0" applyFont="1" applyBorder="1"/>
    <xf numFmtId="164" fontId="4" fillId="0" borderId="6" xfId="1" applyNumberFormat="1" applyFont="1" applyBorder="1"/>
    <xf numFmtId="164" fontId="4" fillId="0" borderId="0" xfId="1" applyNumberFormat="1" applyFont="1"/>
    <xf numFmtId="164" fontId="4" fillId="0" borderId="0" xfId="1" applyNumberFormat="1" applyFont="1" applyBorder="1"/>
    <xf numFmtId="0" fontId="13" fillId="0" borderId="0" xfId="0" applyFont="1"/>
    <xf numFmtId="164" fontId="14" fillId="0" borderId="4" xfId="1" applyNumberFormat="1" applyFont="1" applyBorder="1"/>
    <xf numFmtId="164" fontId="6" fillId="0" borderId="0" xfId="1" applyNumberFormat="1" applyFont="1" applyFill="1"/>
    <xf numFmtId="9" fontId="6" fillId="0" borderId="0" xfId="2" applyFont="1" applyFill="1"/>
    <xf numFmtId="164" fontId="6" fillId="0" borderId="0" xfId="0" applyNumberFormat="1" applyFont="1"/>
    <xf numFmtId="0" fontId="6" fillId="0" borderId="7" xfId="0" applyFont="1" applyBorder="1" applyAlignment="1">
      <alignment horizontal="center"/>
    </xf>
    <xf numFmtId="0" fontId="6" fillId="0" borderId="8" xfId="0" applyFont="1" applyBorder="1" applyAlignment="1">
      <alignment horizontal="center"/>
    </xf>
    <xf numFmtId="164" fontId="6" fillId="0" borderId="4" xfId="1" applyNumberFormat="1" applyFont="1" applyFill="1" applyBorder="1"/>
    <xf numFmtId="164" fontId="2" fillId="0" borderId="0" xfId="0" applyNumberFormat="1" applyFont="1"/>
    <xf numFmtId="164" fontId="6" fillId="0" borderId="2" xfId="1" applyNumberFormat="1" applyFont="1" applyFill="1" applyBorder="1"/>
    <xf numFmtId="164" fontId="6" fillId="0" borderId="10" xfId="1" applyNumberFormat="1" applyFont="1" applyFill="1" applyBorder="1"/>
    <xf numFmtId="164" fontId="6" fillId="0" borderId="0" xfId="1" applyNumberFormat="1" applyFont="1" applyFill="1" applyBorder="1"/>
    <xf numFmtId="0" fontId="4" fillId="0" borderId="9" xfId="0" applyFont="1" applyBorder="1"/>
    <xf numFmtId="0" fontId="4" fillId="4" borderId="0" xfId="0" applyFont="1" applyFill="1" applyAlignment="1">
      <alignment horizontal="left" wrapText="1"/>
    </xf>
    <xf numFmtId="0" fontId="6" fillId="4" borderId="0" xfId="0" applyFont="1" applyFill="1" applyAlignment="1">
      <alignment horizontal="left"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94B3-6626-4DE9-BBAF-55C2612398D2}">
  <sheetPr codeName="Sheet3"/>
  <dimension ref="A1:M114"/>
  <sheetViews>
    <sheetView tabSelected="1" zoomScale="150" zoomScaleNormal="150" workbookViewId="0">
      <selection activeCell="B116" sqref="B116"/>
    </sheetView>
  </sheetViews>
  <sheetFormatPr defaultColWidth="8.6640625" defaultRowHeight="10.199999999999999" x14ac:dyDescent="0.2"/>
  <cols>
    <col min="1" max="1" width="40.44140625" style="1" customWidth="1"/>
    <col min="2" max="2" width="15.44140625" style="1" customWidth="1"/>
    <col min="3" max="3" width="13.33203125" style="1" customWidth="1"/>
    <col min="4" max="4" width="8.77734375" style="1" bestFit="1" customWidth="1"/>
    <col min="5" max="6" width="8.6640625" style="1"/>
    <col min="7" max="7" width="10.44140625" style="1" bestFit="1" customWidth="1"/>
    <col min="8" max="8" width="11.44140625" style="1" bestFit="1" customWidth="1"/>
    <col min="9" max="16384" width="8.6640625" style="1"/>
  </cols>
  <sheetData>
    <row r="1" spans="1:11" ht="13.2" x14ac:dyDescent="0.25">
      <c r="A1" s="6" t="s">
        <v>0</v>
      </c>
      <c r="B1" s="5"/>
      <c r="C1" s="5"/>
      <c r="D1" s="5"/>
      <c r="E1" s="5"/>
      <c r="F1" s="5"/>
      <c r="G1" s="5"/>
      <c r="H1" s="5"/>
      <c r="I1" s="5"/>
      <c r="J1" s="5"/>
      <c r="K1" s="5"/>
    </row>
    <row r="2" spans="1:11" x14ac:dyDescent="0.2">
      <c r="A2" s="52" t="s">
        <v>36</v>
      </c>
      <c r="B2" s="53"/>
      <c r="C2" s="53"/>
      <c r="D2" s="53"/>
      <c r="E2" s="53"/>
      <c r="F2" s="53"/>
      <c r="G2" s="53"/>
      <c r="H2" s="53"/>
      <c r="I2" s="53"/>
      <c r="J2" s="53"/>
      <c r="K2" s="53"/>
    </row>
    <row r="3" spans="1:11" ht="39.75" customHeight="1" x14ac:dyDescent="0.2">
      <c r="A3" s="53"/>
      <c r="B3" s="53"/>
      <c r="C3" s="53"/>
      <c r="D3" s="53"/>
      <c r="E3" s="53"/>
      <c r="F3" s="53"/>
      <c r="G3" s="53"/>
      <c r="H3" s="53"/>
      <c r="I3" s="53"/>
      <c r="J3" s="53"/>
      <c r="K3" s="53"/>
    </row>
    <row r="4" spans="1:11" ht="39.75" customHeight="1" x14ac:dyDescent="0.25">
      <c r="A4" s="27" t="s">
        <v>19</v>
      </c>
      <c r="B4" s="23"/>
      <c r="C4" s="23"/>
      <c r="D4" s="23"/>
      <c r="E4" s="23"/>
      <c r="F4" s="23"/>
      <c r="G4" s="23"/>
      <c r="H4" s="23"/>
      <c r="I4" s="23"/>
      <c r="J4" s="23"/>
      <c r="K4" s="23"/>
    </row>
    <row r="5" spans="1:11" ht="13.2" x14ac:dyDescent="0.25">
      <c r="A5" s="5"/>
      <c r="B5" s="5"/>
      <c r="C5" s="5"/>
      <c r="D5" s="5"/>
      <c r="E5" s="5"/>
      <c r="F5" s="5"/>
      <c r="G5" s="5"/>
      <c r="H5" s="5"/>
      <c r="I5" s="5"/>
      <c r="J5" s="5"/>
      <c r="K5" s="5"/>
    </row>
    <row r="6" spans="1:11" ht="13.2" x14ac:dyDescent="0.25">
      <c r="A6" s="6" t="s">
        <v>1</v>
      </c>
      <c r="B6" s="5"/>
      <c r="C6" s="5"/>
      <c r="D6" s="5"/>
      <c r="E6" s="5"/>
      <c r="F6" s="5"/>
      <c r="G6" s="5"/>
      <c r="H6" s="5"/>
      <c r="I6" s="5"/>
      <c r="J6" s="5"/>
      <c r="K6" s="5"/>
    </row>
    <row r="7" spans="1:11" ht="13.2" x14ac:dyDescent="0.25">
      <c r="A7" s="8" t="s">
        <v>2</v>
      </c>
      <c r="B7" s="9" t="s">
        <v>3</v>
      </c>
      <c r="C7" s="5"/>
      <c r="D7" s="5"/>
      <c r="E7" s="5"/>
      <c r="F7" s="5"/>
      <c r="G7" s="5"/>
      <c r="H7" s="5"/>
      <c r="I7" s="5"/>
      <c r="J7" s="5"/>
      <c r="K7" s="5"/>
    </row>
    <row r="8" spans="1:11" ht="13.2" x14ac:dyDescent="0.25">
      <c r="A8" s="10" t="s">
        <v>4</v>
      </c>
      <c r="B8" s="11">
        <v>6000000</v>
      </c>
      <c r="C8" s="5"/>
      <c r="D8" s="5"/>
      <c r="E8" s="5"/>
      <c r="F8" s="5"/>
      <c r="G8" s="5"/>
      <c r="H8" s="5"/>
      <c r="I8" s="5"/>
      <c r="J8" s="5"/>
      <c r="K8" s="5"/>
    </row>
    <row r="9" spans="1:11" ht="13.2" x14ac:dyDescent="0.25">
      <c r="A9" s="12"/>
      <c r="B9" s="13"/>
      <c r="C9" s="5"/>
      <c r="D9" s="5"/>
      <c r="E9" s="5"/>
      <c r="F9" s="5"/>
      <c r="G9" s="5"/>
      <c r="H9" s="5"/>
      <c r="I9" s="5"/>
      <c r="J9" s="5"/>
      <c r="K9" s="5"/>
    </row>
    <row r="10" spans="1:11" ht="13.2" x14ac:dyDescent="0.25">
      <c r="A10" s="12" t="s">
        <v>5</v>
      </c>
      <c r="B10" s="40">
        <v>1625000</v>
      </c>
      <c r="C10" s="5"/>
      <c r="D10" s="5"/>
      <c r="E10" s="5"/>
      <c r="F10" s="5"/>
      <c r="G10" s="5"/>
      <c r="H10" s="5"/>
      <c r="I10" s="5"/>
      <c r="J10" s="5"/>
      <c r="K10" s="5"/>
    </row>
    <row r="11" spans="1:11" ht="13.2" x14ac:dyDescent="0.25">
      <c r="A11" s="12"/>
      <c r="B11" s="13"/>
      <c r="C11" s="5"/>
      <c r="D11" s="5"/>
      <c r="E11" s="5"/>
      <c r="F11" s="5"/>
      <c r="G11" s="5"/>
      <c r="H11" s="5"/>
      <c r="I11" s="5"/>
      <c r="J11" s="5"/>
      <c r="K11" s="5"/>
    </row>
    <row r="12" spans="1:11" ht="13.2" x14ac:dyDescent="0.25">
      <c r="A12" s="12" t="s">
        <v>6</v>
      </c>
      <c r="B12" s="13">
        <v>750000</v>
      </c>
      <c r="C12" s="5"/>
      <c r="D12" s="5"/>
      <c r="E12" s="5"/>
      <c r="F12" s="5"/>
      <c r="G12" s="5"/>
      <c r="H12" s="5"/>
      <c r="I12" s="5"/>
      <c r="J12" s="5"/>
      <c r="K12" s="5"/>
    </row>
    <row r="13" spans="1:11" ht="13.2" x14ac:dyDescent="0.25">
      <c r="A13" s="12" t="s">
        <v>7</v>
      </c>
      <c r="B13" s="13">
        <v>250000</v>
      </c>
      <c r="C13" s="5"/>
      <c r="D13" s="5"/>
      <c r="E13" s="5"/>
      <c r="F13" s="5"/>
      <c r="G13" s="5"/>
      <c r="H13" s="5"/>
      <c r="I13" s="5"/>
      <c r="J13" s="5"/>
      <c r="K13" s="5"/>
    </row>
    <row r="14" spans="1:11" ht="13.2" x14ac:dyDescent="0.25">
      <c r="A14" s="12" t="s">
        <v>8</v>
      </c>
      <c r="B14" s="13">
        <v>30000</v>
      </c>
      <c r="C14" s="5"/>
      <c r="D14" s="5"/>
      <c r="E14" s="5"/>
      <c r="F14" s="5"/>
      <c r="G14" s="5"/>
      <c r="H14" s="5"/>
      <c r="I14" s="5"/>
      <c r="J14" s="5"/>
      <c r="K14" s="5"/>
    </row>
    <row r="15" spans="1:11" ht="13.2" x14ac:dyDescent="0.25">
      <c r="A15" s="14" t="s">
        <v>9</v>
      </c>
      <c r="B15" s="15">
        <v>50000</v>
      </c>
      <c r="C15" s="5"/>
      <c r="D15" s="5"/>
      <c r="E15" s="5"/>
      <c r="F15" s="5"/>
      <c r="G15" s="5"/>
      <c r="H15" s="5"/>
      <c r="I15" s="5"/>
      <c r="J15" s="5"/>
      <c r="K15" s="5"/>
    </row>
    <row r="16" spans="1:11" ht="13.2" x14ac:dyDescent="0.25">
      <c r="A16" s="5"/>
      <c r="B16" s="16"/>
      <c r="C16" s="5"/>
      <c r="D16" s="5"/>
      <c r="E16" s="5"/>
      <c r="F16" s="5"/>
      <c r="G16" s="5"/>
      <c r="H16" s="5"/>
      <c r="I16" s="5"/>
      <c r="J16" s="5"/>
      <c r="K16" s="5"/>
    </row>
    <row r="17" spans="1:11" ht="13.2" x14ac:dyDescent="0.25">
      <c r="A17" s="4" t="s">
        <v>10</v>
      </c>
      <c r="B17" s="16"/>
      <c r="C17" s="5"/>
      <c r="D17" s="5"/>
      <c r="E17" s="5"/>
      <c r="F17" s="5"/>
      <c r="G17" s="5"/>
      <c r="H17" s="5"/>
      <c r="I17" s="5"/>
      <c r="J17" s="5"/>
      <c r="K17" s="5"/>
    </row>
    <row r="18" spans="1:11" ht="13.2" x14ac:dyDescent="0.25">
      <c r="A18" s="17" t="s">
        <v>13</v>
      </c>
      <c r="B18" s="16"/>
      <c r="C18" s="5"/>
      <c r="D18" s="5"/>
      <c r="E18" s="5"/>
      <c r="F18" s="5"/>
      <c r="G18" s="5"/>
      <c r="H18" s="5"/>
      <c r="I18" s="5"/>
      <c r="J18" s="5"/>
      <c r="K18" s="5"/>
    </row>
    <row r="19" spans="1:11" ht="13.2" x14ac:dyDescent="0.25">
      <c r="A19" s="17" t="s">
        <v>15</v>
      </c>
      <c r="B19" s="16"/>
      <c r="C19" s="5"/>
      <c r="D19" s="5"/>
      <c r="E19" s="5"/>
      <c r="F19" s="5"/>
      <c r="G19" s="5"/>
      <c r="H19" s="5"/>
      <c r="I19" s="5"/>
      <c r="J19" s="5"/>
      <c r="K19" s="5"/>
    </row>
    <row r="20" spans="1:11" ht="13.2" x14ac:dyDescent="0.25">
      <c r="A20" s="17"/>
      <c r="B20" s="16"/>
      <c r="C20" s="5"/>
      <c r="D20" s="5"/>
      <c r="E20" s="5"/>
      <c r="F20" s="5"/>
      <c r="G20" s="5"/>
      <c r="H20" s="5"/>
      <c r="I20" s="5"/>
      <c r="J20" s="5"/>
      <c r="K20" s="5"/>
    </row>
    <row r="21" spans="1:11" ht="13.2" x14ac:dyDescent="0.25">
      <c r="A21" s="25" t="s">
        <v>16</v>
      </c>
      <c r="B21" s="21"/>
      <c r="C21" s="20"/>
      <c r="D21" s="20"/>
      <c r="E21" s="5"/>
      <c r="F21" s="5"/>
      <c r="G21" s="5"/>
      <c r="H21" s="5"/>
      <c r="I21" s="5"/>
      <c r="J21" s="5"/>
      <c r="K21" s="5"/>
    </row>
    <row r="22" spans="1:11" ht="13.2" x14ac:dyDescent="0.25">
      <c r="A22" s="5"/>
      <c r="B22" s="16"/>
      <c r="C22" s="5"/>
      <c r="D22" s="5"/>
      <c r="E22" s="5"/>
      <c r="F22" s="5"/>
      <c r="G22" s="5"/>
      <c r="H22" s="5"/>
      <c r="I22" s="5"/>
      <c r="J22" s="5"/>
      <c r="K22" s="5"/>
    </row>
    <row r="23" spans="1:11" ht="13.2" x14ac:dyDescent="0.25">
      <c r="A23" s="7" t="s">
        <v>11</v>
      </c>
      <c r="B23" s="16"/>
      <c r="C23" s="5"/>
      <c r="D23" s="5"/>
      <c r="E23" s="5"/>
      <c r="F23" s="5"/>
      <c r="G23" s="5"/>
      <c r="H23" s="5"/>
      <c r="I23" s="5"/>
      <c r="J23" s="5"/>
      <c r="K23" s="5"/>
    </row>
    <row r="24" spans="1:11" ht="13.2" x14ac:dyDescent="0.25">
      <c r="A24" s="7"/>
      <c r="B24" s="16"/>
      <c r="C24" s="5"/>
      <c r="D24" s="5"/>
      <c r="E24" s="5"/>
      <c r="F24" s="5"/>
      <c r="G24" s="5"/>
      <c r="H24" s="5"/>
      <c r="I24" s="5"/>
      <c r="J24" s="5"/>
      <c r="K24" s="5"/>
    </row>
    <row r="25" spans="1:11" ht="13.2" x14ac:dyDescent="0.25">
      <c r="A25" s="7" t="s">
        <v>20</v>
      </c>
      <c r="B25" s="41">
        <f>B8-B10-B12-B13-B14-B15</f>
        <v>3295000</v>
      </c>
      <c r="C25" s="43"/>
      <c r="D25" s="5"/>
      <c r="E25" s="5"/>
      <c r="F25" s="5"/>
      <c r="G25" s="5"/>
      <c r="H25" s="5"/>
      <c r="I25" s="5"/>
      <c r="J25" s="5"/>
      <c r="K25" s="5"/>
    </row>
    <row r="26" spans="1:11" ht="13.2" x14ac:dyDescent="0.25">
      <c r="A26" s="7"/>
      <c r="B26" s="41"/>
      <c r="C26" s="5"/>
      <c r="D26" s="5"/>
      <c r="E26" s="5"/>
      <c r="F26" s="5"/>
      <c r="G26" s="5"/>
      <c r="H26" s="5"/>
      <c r="I26" s="5"/>
      <c r="J26" s="5"/>
      <c r="K26" s="5"/>
    </row>
    <row r="27" spans="1:11" ht="13.2" x14ac:dyDescent="0.25">
      <c r="A27" s="5" t="s">
        <v>21</v>
      </c>
      <c r="B27" s="42">
        <v>0.21</v>
      </c>
      <c r="C27" s="5"/>
      <c r="D27" s="5"/>
      <c r="E27" s="5"/>
      <c r="F27" s="5"/>
      <c r="G27" s="5"/>
      <c r="H27" s="5"/>
      <c r="I27" s="5"/>
      <c r="J27" s="5"/>
      <c r="K27" s="5"/>
    </row>
    <row r="28" spans="1:11" ht="13.2" x14ac:dyDescent="0.25">
      <c r="A28" s="5"/>
      <c r="B28" s="41"/>
      <c r="C28" s="5"/>
      <c r="D28" s="5"/>
      <c r="E28" s="5"/>
      <c r="F28" s="5"/>
      <c r="G28" s="5"/>
      <c r="H28" s="5"/>
      <c r="I28" s="5"/>
      <c r="J28" s="5"/>
      <c r="K28" s="5"/>
    </row>
    <row r="29" spans="1:11" ht="13.2" x14ac:dyDescent="0.25">
      <c r="A29" s="5" t="s">
        <v>22</v>
      </c>
      <c r="B29" s="41">
        <f>B25*B27</f>
        <v>691950</v>
      </c>
      <c r="C29" s="43"/>
      <c r="D29" s="5"/>
      <c r="E29" s="5"/>
      <c r="F29" s="5"/>
      <c r="G29" s="5"/>
      <c r="H29" s="5"/>
      <c r="I29" s="5"/>
      <c r="J29" s="5"/>
      <c r="K29" s="5"/>
    </row>
    <row r="30" spans="1:11" ht="13.2" x14ac:dyDescent="0.25">
      <c r="A30" s="5"/>
      <c r="B30" s="18"/>
      <c r="C30" s="5"/>
      <c r="D30" s="5"/>
      <c r="E30" s="5"/>
      <c r="F30" s="5"/>
      <c r="G30" s="5"/>
      <c r="H30" s="5"/>
      <c r="I30" s="5"/>
      <c r="J30" s="5"/>
      <c r="K30" s="5"/>
    </row>
    <row r="31" spans="1:11" ht="13.2" x14ac:dyDescent="0.25">
      <c r="A31" s="4"/>
      <c r="B31" s="16"/>
      <c r="C31" s="5"/>
      <c r="D31" s="5"/>
      <c r="E31" s="5"/>
      <c r="F31" s="5"/>
      <c r="G31" s="5"/>
      <c r="H31" s="5"/>
      <c r="I31" s="5"/>
      <c r="J31" s="5"/>
      <c r="K31" s="5"/>
    </row>
    <row r="32" spans="1:11" ht="13.2" x14ac:dyDescent="0.25">
      <c r="A32" s="6" t="s">
        <v>0</v>
      </c>
      <c r="B32" s="16"/>
      <c r="C32" s="5"/>
      <c r="D32" s="5"/>
      <c r="E32" s="5"/>
      <c r="F32" s="5"/>
      <c r="G32" s="5"/>
      <c r="H32" s="5"/>
      <c r="I32" s="5"/>
      <c r="J32" s="5"/>
      <c r="K32" s="5"/>
    </row>
    <row r="33" spans="1:11" ht="11.55" customHeight="1" x14ac:dyDescent="0.25">
      <c r="A33" s="3" t="s">
        <v>14</v>
      </c>
      <c r="B33" s="5"/>
      <c r="C33" s="5"/>
      <c r="D33" s="5"/>
      <c r="E33" s="5"/>
      <c r="F33" s="5"/>
      <c r="G33" s="5"/>
      <c r="H33" s="5"/>
      <c r="I33" s="5"/>
      <c r="J33" s="5"/>
      <c r="K33" s="5"/>
    </row>
    <row r="34" spans="1:11" ht="11.55" customHeight="1" x14ac:dyDescent="0.25">
      <c r="A34" s="5"/>
      <c r="B34" s="5"/>
      <c r="C34" s="5"/>
      <c r="D34" s="5"/>
      <c r="E34" s="5"/>
      <c r="F34" s="5"/>
      <c r="G34" s="5"/>
      <c r="H34" s="5"/>
      <c r="I34" s="5"/>
      <c r="J34" s="5"/>
      <c r="K34" s="5"/>
    </row>
    <row r="35" spans="1:11" ht="13.2" x14ac:dyDescent="0.25">
      <c r="A35" s="7" t="s">
        <v>1</v>
      </c>
      <c r="B35" s="16"/>
      <c r="C35" s="5"/>
      <c r="D35" s="5"/>
      <c r="E35" s="5"/>
      <c r="F35" s="5"/>
      <c r="G35" s="5"/>
      <c r="H35" s="5"/>
      <c r="I35" s="5"/>
      <c r="J35" s="5"/>
      <c r="K35" s="5"/>
    </row>
    <row r="36" spans="1:11" ht="13.2" x14ac:dyDescent="0.25">
      <c r="A36" s="8" t="s">
        <v>2</v>
      </c>
      <c r="B36" s="9" t="s">
        <v>3</v>
      </c>
      <c r="C36" s="5"/>
      <c r="D36" s="5"/>
      <c r="E36" s="5"/>
      <c r="F36" s="5"/>
      <c r="G36" s="5"/>
      <c r="H36" s="5"/>
      <c r="I36" s="5"/>
      <c r="J36" s="5"/>
      <c r="K36" s="5"/>
    </row>
    <row r="37" spans="1:11" ht="13.2" x14ac:dyDescent="0.25">
      <c r="A37" s="10" t="s">
        <v>4</v>
      </c>
      <c r="B37" s="11">
        <v>6000000</v>
      </c>
      <c r="C37" s="5"/>
      <c r="D37" s="5"/>
      <c r="E37" s="5"/>
      <c r="F37" s="5"/>
      <c r="G37" s="5"/>
      <c r="H37" s="5"/>
      <c r="I37" s="5"/>
      <c r="J37" s="5"/>
      <c r="K37" s="5"/>
    </row>
    <row r="38" spans="1:11" ht="13.2" x14ac:dyDescent="0.25">
      <c r="A38" s="12"/>
      <c r="B38" s="13"/>
      <c r="C38" s="5"/>
      <c r="D38" s="5"/>
      <c r="E38" s="5"/>
      <c r="F38" s="5"/>
      <c r="G38" s="5"/>
      <c r="H38" s="5"/>
      <c r="I38" s="5"/>
      <c r="J38" s="5"/>
      <c r="K38" s="5"/>
    </row>
    <row r="39" spans="1:11" ht="13.2" x14ac:dyDescent="0.25">
      <c r="A39" s="12" t="s">
        <v>12</v>
      </c>
      <c r="B39" s="40">
        <v>1275000</v>
      </c>
      <c r="C39" s="5"/>
      <c r="D39" s="5"/>
      <c r="E39" s="5"/>
      <c r="F39" s="5"/>
      <c r="G39" s="5"/>
      <c r="H39" s="5"/>
      <c r="I39" s="5"/>
      <c r="J39" s="5"/>
      <c r="K39" s="5"/>
    </row>
    <row r="40" spans="1:11" ht="13.2" x14ac:dyDescent="0.25">
      <c r="A40" s="12"/>
      <c r="B40" s="13"/>
      <c r="C40" s="5"/>
      <c r="D40" s="5"/>
      <c r="E40" s="5"/>
      <c r="F40" s="5"/>
      <c r="G40" s="5"/>
      <c r="H40" s="5"/>
      <c r="I40" s="5"/>
      <c r="J40" s="5"/>
      <c r="K40" s="5"/>
    </row>
    <row r="41" spans="1:11" ht="13.2" x14ac:dyDescent="0.25">
      <c r="A41" s="12" t="s">
        <v>6</v>
      </c>
      <c r="B41" s="13">
        <v>750000</v>
      </c>
      <c r="C41" s="5"/>
      <c r="D41" s="5"/>
      <c r="E41" s="5"/>
      <c r="F41" s="5"/>
      <c r="G41" s="5"/>
      <c r="H41" s="5"/>
      <c r="I41" s="5"/>
      <c r="J41" s="5"/>
      <c r="K41" s="5"/>
    </row>
    <row r="42" spans="1:11" ht="13.2" x14ac:dyDescent="0.25">
      <c r="A42" s="12" t="s">
        <v>7</v>
      </c>
      <c r="B42" s="13">
        <v>250000</v>
      </c>
      <c r="C42" s="5"/>
      <c r="D42" s="5"/>
      <c r="E42" s="5"/>
      <c r="F42" s="5"/>
      <c r="G42" s="5"/>
      <c r="H42" s="5"/>
      <c r="I42" s="5"/>
      <c r="J42" s="5"/>
      <c r="K42" s="5"/>
    </row>
    <row r="43" spans="1:11" ht="13.2" x14ac:dyDescent="0.25">
      <c r="A43" s="12" t="s">
        <v>8</v>
      </c>
      <c r="B43" s="13">
        <v>30000</v>
      </c>
      <c r="C43" s="5"/>
      <c r="D43" s="5"/>
      <c r="E43" s="5"/>
      <c r="F43" s="5"/>
      <c r="G43" s="5"/>
      <c r="H43" s="5"/>
      <c r="I43" s="5"/>
      <c r="J43" s="5"/>
      <c r="K43" s="5"/>
    </row>
    <row r="44" spans="1:11" ht="13.2" x14ac:dyDescent="0.25">
      <c r="A44" s="14" t="s">
        <v>9</v>
      </c>
      <c r="B44" s="15">
        <v>50000</v>
      </c>
      <c r="C44" s="5"/>
      <c r="D44" s="5"/>
      <c r="E44" s="5"/>
      <c r="F44" s="5"/>
      <c r="G44" s="5"/>
      <c r="H44" s="5"/>
      <c r="I44" s="5"/>
      <c r="J44" s="5"/>
      <c r="K44" s="5"/>
    </row>
    <row r="45" spans="1:11" ht="13.2" x14ac:dyDescent="0.25">
      <c r="A45" s="5"/>
      <c r="B45" s="18"/>
      <c r="C45" s="5"/>
      <c r="D45" s="5"/>
      <c r="E45" s="5"/>
      <c r="F45" s="5"/>
      <c r="G45" s="5"/>
      <c r="H45" s="5"/>
      <c r="I45" s="5"/>
      <c r="J45" s="5"/>
      <c r="K45" s="5"/>
    </row>
    <row r="46" spans="1:11" ht="13.2" x14ac:dyDescent="0.25">
      <c r="A46" s="2" t="s">
        <v>10</v>
      </c>
      <c r="B46" s="18"/>
      <c r="C46" s="5"/>
      <c r="D46" s="5"/>
      <c r="E46" s="5"/>
      <c r="F46" s="5"/>
      <c r="G46" s="5"/>
      <c r="H46" s="5"/>
      <c r="I46" s="5"/>
      <c r="J46" s="5"/>
      <c r="K46" s="5"/>
    </row>
    <row r="47" spans="1:11" ht="13.2" x14ac:dyDescent="0.25">
      <c r="A47" s="17" t="s">
        <v>13</v>
      </c>
      <c r="B47" s="18"/>
      <c r="C47" s="5"/>
      <c r="D47" s="5"/>
      <c r="E47" s="5"/>
      <c r="F47" s="5"/>
      <c r="G47" s="5"/>
      <c r="H47" s="5"/>
      <c r="I47" s="5"/>
      <c r="J47" s="5"/>
      <c r="K47" s="5"/>
    </row>
    <row r="48" spans="1:11" ht="13.2" x14ac:dyDescent="0.25">
      <c r="A48" s="17" t="s">
        <v>15</v>
      </c>
      <c r="B48" s="5"/>
      <c r="C48" s="5"/>
      <c r="D48" s="5"/>
      <c r="E48" s="5"/>
      <c r="F48" s="5"/>
      <c r="G48" s="5"/>
      <c r="H48" s="5"/>
      <c r="I48" s="5"/>
      <c r="J48" s="5"/>
      <c r="K48" s="5"/>
    </row>
    <row r="49" spans="1:13" ht="13.2" x14ac:dyDescent="0.25">
      <c r="A49" s="19"/>
      <c r="B49" s="5"/>
      <c r="C49" s="5"/>
      <c r="D49" s="5"/>
      <c r="E49" s="5"/>
      <c r="F49" s="5"/>
      <c r="G49" s="5"/>
      <c r="H49" s="5"/>
      <c r="I49" s="5"/>
      <c r="J49" s="5"/>
      <c r="K49" s="5"/>
    </row>
    <row r="50" spans="1:13" ht="13.2" x14ac:dyDescent="0.25">
      <c r="A50" s="24" t="s">
        <v>17</v>
      </c>
      <c r="B50" s="20"/>
      <c r="C50" s="20"/>
      <c r="D50" s="20"/>
      <c r="E50" s="20"/>
      <c r="F50" s="20"/>
      <c r="G50" s="20"/>
      <c r="H50" s="20"/>
      <c r="I50" s="20"/>
      <c r="J50" s="20"/>
      <c r="K50" s="20"/>
      <c r="L50" s="22"/>
      <c r="M50" s="22"/>
    </row>
    <row r="51" spans="1:13" ht="13.2" x14ac:dyDescent="0.25">
      <c r="A51" s="5"/>
      <c r="B51" s="5"/>
      <c r="C51" s="5"/>
      <c r="D51" s="5"/>
      <c r="E51" s="5"/>
      <c r="F51" s="5"/>
      <c r="G51" s="5"/>
      <c r="H51" s="5"/>
      <c r="I51" s="5"/>
      <c r="J51" s="5"/>
      <c r="K51" s="5"/>
    </row>
    <row r="52" spans="1:13" ht="13.2" x14ac:dyDescent="0.25">
      <c r="A52" s="5"/>
      <c r="B52" s="5"/>
      <c r="C52" s="5"/>
      <c r="D52" s="5"/>
      <c r="E52" s="5"/>
      <c r="F52" s="5"/>
      <c r="G52" s="5"/>
      <c r="H52" s="5"/>
      <c r="I52" s="5"/>
      <c r="J52" s="5"/>
      <c r="K52" s="5"/>
    </row>
    <row r="53" spans="1:13" ht="13.2" x14ac:dyDescent="0.25">
      <c r="A53" s="7" t="s">
        <v>11</v>
      </c>
      <c r="B53" s="5"/>
      <c r="C53" s="5"/>
      <c r="D53" s="5"/>
      <c r="E53" s="5"/>
      <c r="F53" s="5"/>
      <c r="G53" s="5"/>
      <c r="H53" s="5"/>
      <c r="I53" s="5"/>
      <c r="J53" s="5"/>
      <c r="K53" s="5"/>
    </row>
    <row r="54" spans="1:13" ht="13.2" x14ac:dyDescent="0.25">
      <c r="A54" s="5"/>
      <c r="B54" s="5"/>
      <c r="C54" s="5"/>
      <c r="D54" s="5"/>
      <c r="E54" s="5"/>
      <c r="F54" s="5"/>
      <c r="G54" s="5"/>
      <c r="H54" s="5"/>
      <c r="I54" s="5"/>
      <c r="J54" s="5"/>
      <c r="K54" s="5"/>
    </row>
    <row r="55" spans="1:13" ht="13.2" x14ac:dyDescent="0.25">
      <c r="A55" s="5" t="s">
        <v>20</v>
      </c>
      <c r="B55" s="41">
        <f>B37-B39-B41-B42-B43-B44</f>
        <v>3645000</v>
      </c>
      <c r="C55" s="43"/>
      <c r="D55" s="5"/>
      <c r="E55" s="5"/>
      <c r="F55" s="5"/>
      <c r="G55" s="5"/>
      <c r="H55" s="5"/>
      <c r="I55" s="5"/>
      <c r="J55" s="5"/>
      <c r="K55" s="5"/>
    </row>
    <row r="57" spans="1:13" ht="13.2" x14ac:dyDescent="0.25">
      <c r="A57" s="6" t="s">
        <v>21</v>
      </c>
      <c r="B57" s="42">
        <v>0.21</v>
      </c>
      <c r="C57" s="5"/>
      <c r="D57" s="5"/>
      <c r="E57" s="5"/>
      <c r="F57" s="5"/>
      <c r="G57" s="5"/>
      <c r="H57" s="5"/>
      <c r="I57" s="5"/>
      <c r="J57" s="5"/>
      <c r="K57" s="5"/>
    </row>
    <row r="58" spans="1:13" ht="13.2" x14ac:dyDescent="0.25">
      <c r="A58" s="3"/>
      <c r="B58" s="5"/>
      <c r="C58" s="5"/>
      <c r="D58" s="5"/>
      <c r="E58" s="5"/>
      <c r="F58" s="5"/>
      <c r="G58" s="5"/>
      <c r="H58" s="5"/>
      <c r="I58" s="5"/>
      <c r="J58" s="5"/>
      <c r="K58" s="5"/>
    </row>
    <row r="59" spans="1:13" ht="13.2" x14ac:dyDescent="0.25">
      <c r="A59" s="5" t="s">
        <v>23</v>
      </c>
      <c r="B59" s="41">
        <f>B55*B57</f>
        <v>765450</v>
      </c>
      <c r="C59" s="43"/>
      <c r="D59" s="5"/>
      <c r="E59" s="5"/>
      <c r="F59" s="5"/>
      <c r="G59" s="5"/>
      <c r="H59" s="5"/>
      <c r="I59" s="5"/>
      <c r="J59" s="5"/>
      <c r="K59" s="5"/>
    </row>
    <row r="60" spans="1:13" ht="13.8" thickBot="1" x14ac:dyDescent="0.3">
      <c r="A60" s="7"/>
      <c r="B60" s="41"/>
      <c r="C60" s="5"/>
      <c r="D60" s="5"/>
      <c r="E60" s="5"/>
      <c r="F60" s="5"/>
      <c r="G60" s="5"/>
      <c r="H60" s="5"/>
      <c r="I60" s="5"/>
      <c r="J60" s="5"/>
      <c r="K60" s="5"/>
    </row>
    <row r="61" spans="1:13" ht="13.8" thickBot="1" x14ac:dyDescent="0.3">
      <c r="A61" s="44"/>
      <c r="B61" s="45"/>
      <c r="C61" s="5"/>
      <c r="D61" s="5"/>
      <c r="E61" s="5"/>
      <c r="F61" s="5"/>
      <c r="G61" s="5"/>
      <c r="H61" s="5"/>
      <c r="I61" s="5"/>
      <c r="J61" s="5"/>
      <c r="K61" s="5"/>
    </row>
    <row r="62" spans="1:13" ht="13.2" x14ac:dyDescent="0.25">
      <c r="A62" s="31" t="s">
        <v>28</v>
      </c>
      <c r="B62" s="48">
        <f>B29</f>
        <v>691950</v>
      </c>
      <c r="C62" s="5"/>
      <c r="D62" s="5"/>
      <c r="E62" s="5"/>
      <c r="F62" s="5"/>
      <c r="G62" s="5"/>
      <c r="H62" s="5"/>
      <c r="I62" s="5"/>
      <c r="J62" s="5"/>
      <c r="K62" s="5"/>
    </row>
    <row r="63" spans="1:13" ht="13.2" x14ac:dyDescent="0.25">
      <c r="A63" s="33" t="s">
        <v>37</v>
      </c>
      <c r="B63" s="46">
        <f>B59</f>
        <v>765450</v>
      </c>
      <c r="C63" s="5"/>
      <c r="D63" s="5"/>
      <c r="E63" s="5"/>
      <c r="F63" s="5"/>
      <c r="G63" s="5"/>
      <c r="H63" s="5"/>
      <c r="I63" s="5"/>
      <c r="J63" s="5"/>
      <c r="K63" s="5"/>
    </row>
    <row r="64" spans="1:13" ht="13.8" thickBot="1" x14ac:dyDescent="0.3">
      <c r="A64" s="51" t="s">
        <v>29</v>
      </c>
      <c r="B64" s="49">
        <f>B62-B63</f>
        <v>-73500</v>
      </c>
      <c r="C64" s="43"/>
      <c r="D64" s="5"/>
      <c r="E64" s="5"/>
      <c r="F64" s="5"/>
      <c r="G64" s="5"/>
      <c r="H64" s="5"/>
      <c r="I64" s="5"/>
      <c r="J64" s="5"/>
      <c r="K64" s="5"/>
    </row>
    <row r="65" spans="1:11" ht="13.8" thickTop="1" x14ac:dyDescent="0.25">
      <c r="A65" s="5"/>
      <c r="B65" s="50"/>
      <c r="C65" s="5"/>
      <c r="D65" s="5"/>
      <c r="E65" s="5"/>
      <c r="F65" s="5"/>
      <c r="G65" s="5"/>
      <c r="H65" s="5"/>
      <c r="I65" s="5"/>
      <c r="J65" s="5"/>
      <c r="K65" s="5"/>
    </row>
    <row r="66" spans="1:11" ht="13.2" x14ac:dyDescent="0.25">
      <c r="A66" s="5"/>
      <c r="B66" s="18"/>
      <c r="C66" s="5"/>
      <c r="D66" s="5"/>
      <c r="E66" s="5"/>
      <c r="F66" s="5"/>
      <c r="G66" s="5"/>
      <c r="H66" s="5"/>
      <c r="I66" s="5"/>
      <c r="J66" s="5"/>
      <c r="K66" s="5"/>
    </row>
    <row r="67" spans="1:11" ht="13.2" x14ac:dyDescent="0.25">
      <c r="A67" s="5"/>
      <c r="B67" s="18"/>
      <c r="C67" s="5"/>
      <c r="D67" s="5"/>
      <c r="E67" s="5"/>
      <c r="F67" s="5"/>
      <c r="G67" s="5"/>
      <c r="H67" s="5"/>
      <c r="I67" s="5"/>
      <c r="J67" s="5"/>
      <c r="K67" s="5"/>
    </row>
    <row r="68" spans="1:11" ht="13.2" x14ac:dyDescent="0.25">
      <c r="A68" s="5"/>
      <c r="B68" s="18"/>
      <c r="C68" s="5"/>
      <c r="D68" s="5"/>
      <c r="E68" s="5"/>
      <c r="F68" s="5"/>
      <c r="G68" s="5"/>
      <c r="H68" s="5"/>
      <c r="I68" s="5"/>
      <c r="J68" s="5"/>
      <c r="K68" s="5"/>
    </row>
    <row r="69" spans="1:11" ht="13.2" x14ac:dyDescent="0.25">
      <c r="A69" s="6" t="s">
        <v>0</v>
      </c>
      <c r="B69" s="37"/>
      <c r="C69" s="3"/>
      <c r="D69" s="3"/>
      <c r="E69" s="3"/>
      <c r="F69" s="3"/>
      <c r="G69" s="3"/>
      <c r="H69" s="3"/>
      <c r="I69" s="5"/>
      <c r="J69" s="5"/>
      <c r="K69" s="5"/>
    </row>
    <row r="70" spans="1:11" ht="13.2" x14ac:dyDescent="0.25">
      <c r="A70" s="3" t="s">
        <v>38</v>
      </c>
      <c r="B70" s="3"/>
      <c r="C70" s="3"/>
      <c r="D70" s="3"/>
      <c r="E70" s="3"/>
      <c r="F70" s="3"/>
      <c r="G70" s="3"/>
      <c r="H70" s="3"/>
      <c r="I70" s="5"/>
      <c r="J70" s="5"/>
      <c r="K70" s="5"/>
    </row>
    <row r="71" spans="1:11" ht="13.2" x14ac:dyDescent="0.25">
      <c r="A71" s="3"/>
      <c r="B71" s="3"/>
      <c r="C71" s="3"/>
      <c r="D71" s="3"/>
      <c r="E71" s="3"/>
      <c r="F71" s="3"/>
      <c r="G71" s="3"/>
      <c r="H71" s="3"/>
      <c r="I71" s="5"/>
      <c r="J71" s="5"/>
      <c r="K71" s="5"/>
    </row>
    <row r="72" spans="1:11" ht="13.8" thickBot="1" x14ac:dyDescent="0.3">
      <c r="A72" s="7" t="s">
        <v>1</v>
      </c>
      <c r="B72" s="37"/>
      <c r="C72" s="3"/>
      <c r="D72" s="3"/>
      <c r="E72" s="3"/>
      <c r="F72" s="3"/>
      <c r="G72" s="3"/>
      <c r="H72" s="3"/>
      <c r="I72" s="5"/>
      <c r="J72" s="5"/>
      <c r="K72" s="5"/>
    </row>
    <row r="73" spans="1:11" ht="13.8" thickBot="1" x14ac:dyDescent="0.3">
      <c r="A73" s="29" t="s">
        <v>2</v>
      </c>
      <c r="B73" s="30" t="s">
        <v>3</v>
      </c>
      <c r="C73" s="3"/>
      <c r="D73" s="3"/>
      <c r="E73" s="3"/>
      <c r="F73" s="3"/>
      <c r="G73" s="3"/>
      <c r="H73" s="3"/>
      <c r="I73" s="5"/>
      <c r="J73" s="5"/>
      <c r="K73" s="5"/>
    </row>
    <row r="74" spans="1:11" ht="13.2" x14ac:dyDescent="0.25">
      <c r="A74" s="31" t="s">
        <v>4</v>
      </c>
      <c r="B74" s="32">
        <v>6000000</v>
      </c>
      <c r="C74" s="3"/>
      <c r="D74" s="3"/>
      <c r="E74" s="3"/>
      <c r="F74" s="3"/>
      <c r="G74" s="3"/>
      <c r="H74" s="3"/>
      <c r="I74" s="5"/>
      <c r="J74" s="5"/>
      <c r="K74" s="5"/>
    </row>
    <row r="75" spans="1:11" ht="13.2" x14ac:dyDescent="0.25">
      <c r="A75" s="33"/>
      <c r="B75" s="34"/>
      <c r="C75" s="3"/>
      <c r="D75" s="3"/>
      <c r="E75" s="3"/>
      <c r="F75" s="3"/>
      <c r="G75" s="3"/>
      <c r="H75" s="3"/>
      <c r="I75" s="5"/>
      <c r="J75" s="5"/>
      <c r="K75" s="5"/>
    </row>
    <row r="76" spans="1:11" ht="13.2" x14ac:dyDescent="0.25">
      <c r="A76" s="33" t="s">
        <v>40</v>
      </c>
      <c r="B76" s="40">
        <v>1500000</v>
      </c>
      <c r="C76" s="3"/>
      <c r="D76" s="3"/>
      <c r="E76" s="3"/>
      <c r="F76" s="3"/>
      <c r="G76" s="3"/>
      <c r="H76" s="3"/>
      <c r="I76" s="5"/>
      <c r="J76" s="5"/>
      <c r="K76" s="5"/>
    </row>
    <row r="77" spans="1:11" ht="13.2" x14ac:dyDescent="0.25">
      <c r="A77" s="33"/>
      <c r="B77" s="34"/>
      <c r="C77" s="3"/>
      <c r="D77" s="3"/>
      <c r="E77" s="3"/>
      <c r="F77" s="3"/>
      <c r="G77" s="3"/>
      <c r="H77" s="3"/>
      <c r="I77" s="5"/>
      <c r="J77" s="5"/>
      <c r="K77" s="5"/>
    </row>
    <row r="78" spans="1:11" ht="13.2" x14ac:dyDescent="0.25">
      <c r="A78" s="33" t="s">
        <v>6</v>
      </c>
      <c r="B78" s="34">
        <v>750000</v>
      </c>
      <c r="C78" s="3"/>
      <c r="D78" s="3"/>
      <c r="E78" s="3"/>
      <c r="F78" s="3"/>
      <c r="G78" s="3"/>
      <c r="H78" s="3"/>
      <c r="I78" s="5"/>
      <c r="J78" s="5"/>
      <c r="K78" s="5"/>
    </row>
    <row r="79" spans="1:11" ht="13.2" x14ac:dyDescent="0.25">
      <c r="A79" s="33" t="s">
        <v>7</v>
      </c>
      <c r="B79" s="34">
        <v>250000</v>
      </c>
      <c r="C79" s="3"/>
      <c r="D79" s="3"/>
      <c r="E79" s="3"/>
      <c r="F79" s="3"/>
      <c r="G79" s="3"/>
      <c r="H79" s="3"/>
      <c r="I79" s="5"/>
      <c r="J79" s="5"/>
      <c r="K79" s="5"/>
    </row>
    <row r="80" spans="1:11" ht="13.2" x14ac:dyDescent="0.25">
      <c r="A80" s="33" t="s">
        <v>8</v>
      </c>
      <c r="B80" s="34">
        <v>30000</v>
      </c>
      <c r="C80" s="3"/>
      <c r="D80" s="3"/>
      <c r="E80" s="3"/>
      <c r="F80" s="3"/>
      <c r="G80" s="3"/>
      <c r="H80" s="3"/>
      <c r="I80" s="5"/>
      <c r="J80" s="5"/>
      <c r="K80" s="5"/>
    </row>
    <row r="81" spans="1:11" ht="13.8" thickBot="1" x14ac:dyDescent="0.3">
      <c r="A81" s="35" t="s">
        <v>9</v>
      </c>
      <c r="B81" s="36">
        <v>50000</v>
      </c>
      <c r="C81" s="3"/>
      <c r="D81" s="3"/>
      <c r="E81" s="3"/>
      <c r="F81" s="3"/>
      <c r="G81" s="3"/>
      <c r="H81" s="3"/>
      <c r="I81" s="5"/>
      <c r="J81" s="5"/>
      <c r="K81" s="5"/>
    </row>
    <row r="82" spans="1:11" ht="13.2" x14ac:dyDescent="0.25">
      <c r="A82" s="3"/>
      <c r="B82" s="38"/>
      <c r="C82" s="3"/>
      <c r="D82" s="3"/>
      <c r="E82" s="3"/>
      <c r="F82" s="3"/>
      <c r="G82" s="3"/>
      <c r="H82" s="3"/>
      <c r="I82" s="5"/>
      <c r="J82" s="5"/>
      <c r="K82" s="5"/>
    </row>
    <row r="83" spans="1:11" ht="13.2" x14ac:dyDescent="0.25">
      <c r="A83" s="2" t="s">
        <v>10</v>
      </c>
      <c r="B83" s="28"/>
      <c r="C83" s="3"/>
      <c r="D83" s="3"/>
      <c r="E83" s="3"/>
      <c r="F83" s="3"/>
      <c r="G83" s="3"/>
      <c r="H83" s="3"/>
      <c r="I83" s="5"/>
      <c r="J83" s="5"/>
      <c r="K83" s="5"/>
    </row>
    <row r="84" spans="1:11" ht="13.2" x14ac:dyDescent="0.25">
      <c r="A84" s="17" t="s">
        <v>13</v>
      </c>
      <c r="B84" s="38"/>
      <c r="C84" s="3"/>
      <c r="D84" s="3"/>
      <c r="E84" s="3"/>
      <c r="F84" s="3"/>
      <c r="G84" s="3"/>
      <c r="H84" s="3"/>
      <c r="I84" s="5"/>
      <c r="J84" s="5"/>
      <c r="K84" s="5"/>
    </row>
    <row r="85" spans="1:11" ht="13.2" x14ac:dyDescent="0.25">
      <c r="A85" s="17" t="s">
        <v>15</v>
      </c>
      <c r="B85" s="3"/>
      <c r="C85" s="3"/>
      <c r="D85" s="3"/>
      <c r="E85" s="3"/>
      <c r="F85" s="3"/>
      <c r="G85" s="3"/>
      <c r="H85" s="3"/>
      <c r="I85" s="5"/>
      <c r="J85" s="5"/>
      <c r="K85" s="5"/>
    </row>
    <row r="86" spans="1:11" ht="13.2" x14ac:dyDescent="0.25">
      <c r="A86" s="17"/>
      <c r="B86" s="3"/>
      <c r="C86" s="3"/>
      <c r="D86" s="3"/>
      <c r="E86" s="3"/>
      <c r="F86" s="3"/>
      <c r="G86" s="3"/>
      <c r="H86" s="3"/>
      <c r="I86" s="5"/>
      <c r="J86" s="5"/>
      <c r="K86" s="5"/>
    </row>
    <row r="87" spans="1:11" s="22" customFormat="1" ht="13.2" x14ac:dyDescent="0.25">
      <c r="A87" s="24" t="s">
        <v>42</v>
      </c>
      <c r="B87" s="25"/>
      <c r="C87" s="25"/>
      <c r="D87" s="25"/>
      <c r="E87" s="25"/>
      <c r="F87" s="25"/>
      <c r="G87" s="25"/>
      <c r="H87" s="25"/>
      <c r="I87" s="20"/>
      <c r="J87" s="20"/>
      <c r="K87" s="20"/>
    </row>
    <row r="88" spans="1:11" ht="13.2" x14ac:dyDescent="0.25">
      <c r="A88" s="17"/>
      <c r="B88" s="3"/>
      <c r="C88" s="3"/>
      <c r="D88" s="3"/>
      <c r="E88" s="3"/>
      <c r="F88" s="3"/>
      <c r="G88" s="3"/>
      <c r="H88" s="3"/>
      <c r="I88" s="5"/>
      <c r="J88" s="5"/>
      <c r="K88" s="5"/>
    </row>
    <row r="89" spans="1:11" ht="13.2" x14ac:dyDescent="0.25">
      <c r="A89" s="7" t="s">
        <v>11</v>
      </c>
      <c r="B89" s="5"/>
      <c r="C89" s="5"/>
      <c r="D89" s="5"/>
      <c r="E89" s="5"/>
      <c r="F89" s="5"/>
      <c r="G89" s="5"/>
      <c r="H89" s="5"/>
      <c r="I89" s="5"/>
      <c r="J89" s="5"/>
      <c r="K89" s="5"/>
    </row>
    <row r="90" spans="1:11" ht="13.2" x14ac:dyDescent="0.25">
      <c r="A90" s="5" t="s">
        <v>20</v>
      </c>
      <c r="B90" s="41">
        <f>B74-B76-B78-B79-B80-B81</f>
        <v>3420000</v>
      </c>
      <c r="C90" s="5"/>
      <c r="D90" s="5"/>
      <c r="E90" s="5"/>
      <c r="F90" s="5"/>
      <c r="G90" s="5"/>
      <c r="H90" s="5"/>
      <c r="I90" s="5"/>
      <c r="J90" s="5"/>
      <c r="K90" s="5"/>
    </row>
    <row r="91" spans="1:11" ht="13.2" x14ac:dyDescent="0.25">
      <c r="C91" s="5"/>
      <c r="D91" s="5"/>
      <c r="E91" s="5"/>
      <c r="F91" s="5"/>
      <c r="G91" s="5"/>
      <c r="H91" s="5"/>
      <c r="I91" s="5"/>
      <c r="J91" s="5"/>
      <c r="K91" s="5"/>
    </row>
    <row r="92" spans="1:11" ht="13.2" x14ac:dyDescent="0.25">
      <c r="A92" s="6" t="s">
        <v>21</v>
      </c>
      <c r="B92" s="42">
        <v>0.21</v>
      </c>
      <c r="C92" s="5"/>
      <c r="D92" s="5"/>
      <c r="E92" s="5"/>
      <c r="F92" s="5"/>
      <c r="G92" s="5"/>
      <c r="H92" s="5"/>
      <c r="I92" s="5"/>
      <c r="J92" s="5"/>
      <c r="K92" s="5"/>
    </row>
    <row r="93" spans="1:11" ht="13.2" x14ac:dyDescent="0.25">
      <c r="A93" s="3"/>
      <c r="B93" s="5"/>
      <c r="C93" s="5"/>
      <c r="D93" s="5"/>
      <c r="E93" s="5"/>
      <c r="F93" s="5"/>
      <c r="G93" s="5"/>
      <c r="H93" s="5"/>
      <c r="I93" s="5"/>
      <c r="J93" s="5"/>
      <c r="K93" s="5"/>
    </row>
    <row r="94" spans="1:11" ht="13.2" x14ac:dyDescent="0.25">
      <c r="A94" s="3" t="s">
        <v>41</v>
      </c>
      <c r="B94" s="41">
        <f>B90*B92</f>
        <v>718200</v>
      </c>
      <c r="C94" s="43"/>
      <c r="D94" s="5"/>
      <c r="E94" s="5"/>
      <c r="F94" s="5"/>
      <c r="G94" s="5"/>
      <c r="H94" s="5"/>
      <c r="I94" s="5"/>
      <c r="J94" s="5"/>
      <c r="K94" s="5"/>
    </row>
    <row r="95" spans="1:11" ht="13.8" thickBot="1" x14ac:dyDescent="0.3">
      <c r="A95" s="7"/>
      <c r="B95" s="41"/>
      <c r="C95" s="5"/>
      <c r="D95" s="5"/>
      <c r="E95" s="5"/>
      <c r="F95" s="5"/>
      <c r="G95" s="5"/>
      <c r="H95" s="5"/>
      <c r="I95" s="5"/>
      <c r="J95" s="5"/>
      <c r="K95" s="5"/>
    </row>
    <row r="96" spans="1:11" ht="13.8" thickBot="1" x14ac:dyDescent="0.3">
      <c r="A96" s="44"/>
      <c r="B96" s="45"/>
      <c r="C96" s="5"/>
      <c r="D96" s="5"/>
      <c r="E96" s="5"/>
      <c r="F96" s="5"/>
      <c r="G96" s="5"/>
      <c r="H96" s="5"/>
      <c r="I96" s="5"/>
      <c r="J96" s="5"/>
      <c r="K96" s="5"/>
    </row>
    <row r="97" spans="1:5" ht="13.8" thickBot="1" x14ac:dyDescent="0.3">
      <c r="A97" s="33" t="s">
        <v>39</v>
      </c>
      <c r="B97" s="46">
        <f>B94</f>
        <v>718200</v>
      </c>
      <c r="D97" s="47"/>
    </row>
    <row r="98" spans="1:5" ht="13.2" x14ac:dyDescent="0.25">
      <c r="A98" s="31" t="s">
        <v>37</v>
      </c>
      <c r="B98" s="48">
        <f>B62</f>
        <v>691950</v>
      </c>
      <c r="D98" s="47"/>
    </row>
    <row r="99" spans="1:5" ht="13.8" thickBot="1" x14ac:dyDescent="0.3">
      <c r="A99" s="33" t="s">
        <v>27</v>
      </c>
      <c r="B99" s="49">
        <f>B97-B98</f>
        <v>26250</v>
      </c>
      <c r="C99" s="47"/>
    </row>
    <row r="100" spans="1:5" ht="13.8" thickTop="1" x14ac:dyDescent="0.25">
      <c r="A100" s="5"/>
      <c r="B100" s="50"/>
    </row>
    <row r="102" spans="1:5" ht="19.8" customHeight="1" x14ac:dyDescent="0.2">
      <c r="A102" s="26" t="s">
        <v>24</v>
      </c>
      <c r="B102" s="22"/>
      <c r="C102" s="22"/>
      <c r="D102" s="22"/>
    </row>
    <row r="103" spans="1:5" x14ac:dyDescent="0.2">
      <c r="A103" s="39" t="s">
        <v>30</v>
      </c>
    </row>
    <row r="104" spans="1:5" x14ac:dyDescent="0.2">
      <c r="A104" s="39"/>
    </row>
    <row r="106" spans="1:5" x14ac:dyDescent="0.2">
      <c r="A106" s="26" t="s">
        <v>25</v>
      </c>
      <c r="B106" s="22"/>
      <c r="C106" s="22"/>
      <c r="D106" s="22"/>
      <c r="E106" s="22"/>
    </row>
    <row r="107" spans="1:5" x14ac:dyDescent="0.2">
      <c r="A107" s="39" t="s">
        <v>35</v>
      </c>
    </row>
    <row r="108" spans="1:5" x14ac:dyDescent="0.2">
      <c r="A108" s="1" t="s">
        <v>31</v>
      </c>
    </row>
    <row r="110" spans="1:5" x14ac:dyDescent="0.2">
      <c r="A110" s="26" t="s">
        <v>26</v>
      </c>
      <c r="B110" s="26"/>
      <c r="C110" s="26"/>
      <c r="D110" s="26"/>
      <c r="E110" s="22"/>
    </row>
    <row r="111" spans="1:5" x14ac:dyDescent="0.2">
      <c r="A111" s="26" t="s">
        <v>18</v>
      </c>
      <c r="B111" s="26"/>
      <c r="C111" s="26"/>
      <c r="D111" s="26"/>
      <c r="E111" s="22"/>
    </row>
    <row r="112" spans="1:5" x14ac:dyDescent="0.2">
      <c r="A112" s="39" t="s">
        <v>32</v>
      </c>
    </row>
    <row r="113" spans="1:1" x14ac:dyDescent="0.2">
      <c r="A113" s="39" t="s">
        <v>33</v>
      </c>
    </row>
    <row r="114" spans="1:1" x14ac:dyDescent="0.2">
      <c r="A114" s="39" t="s">
        <v>34</v>
      </c>
    </row>
  </sheetData>
  <mergeCells count="1">
    <mergeCell ref="A2:K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acilitator_x0028_s_x0029_0 xmlns="d31c4fd0-2758-4202-b5a3-c0b7c228d642" xsi:nil="true"/>
    <IntrotoMSOffice xmlns="d31c4fd0-2758-4202-b5a3-c0b7c228d642" xsi:nil="true"/>
    <Facilitator_x0028_s_x0029_ xmlns="d31c4fd0-2758-4202-b5a3-c0b7c228d642">
      <UserInfo>
        <DisplayName/>
        <AccountId xsi:nil="true"/>
        <AccountType/>
      </UserInfo>
    </Facilitator_x0028_s_x0029_>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C996791EB6F14E84F5B35446FB138A" ma:contentTypeVersion="11" ma:contentTypeDescription="Create a new document." ma:contentTypeScope="" ma:versionID="fb9aab00f5927874561250e48dbfeec3">
  <xsd:schema xmlns:xsd="http://www.w3.org/2001/XMLSchema" xmlns:xs="http://www.w3.org/2001/XMLSchema" xmlns:p="http://schemas.microsoft.com/office/2006/metadata/properties" xmlns:ns2="ca8b1ad2-9ed0-4b49-b52f-6b4b41ebb7a4" xmlns:ns3="d31c4fd0-2758-4202-b5a3-c0b7c228d642" targetNamespace="http://schemas.microsoft.com/office/2006/metadata/properties" ma:root="true" ma:fieldsID="7bac1ed529bfbf465fdbd305b0708508" ns2:_="" ns3:_="">
    <xsd:import namespace="ca8b1ad2-9ed0-4b49-b52f-6b4b41ebb7a4"/>
    <xsd:import namespace="d31c4fd0-2758-4202-b5a3-c0b7c228d64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IntrotoMSOffice" minOccurs="0"/>
                <xsd:element ref="ns3:Facilitator_x0028_s_x0029_" minOccurs="0"/>
                <xsd:element ref="ns3:Facilitator_x0028_s_x0029_0"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8b1ad2-9ed0-4b49-b52f-6b4b41ebb7a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1c4fd0-2758-4202-b5a3-c0b7c228d64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IntrotoMSOffice" ma:index="13" nillable="true" ma:displayName="Session Date" ma:format="DateOnly" ma:internalName="IntrotoMSOffice">
      <xsd:simpleType>
        <xsd:restriction base="dms:DateTime"/>
      </xsd:simpleType>
    </xsd:element>
    <xsd:element name="Facilitator_x0028_s_x0029_" ma:index="14" nillable="true" ma:displayName="Moderator" ma:format="Dropdown" ma:list="UserInfo" ma:SharePointGroup="0" ma:internalName="Facilitator_x0028_s_x002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acilitator_x0028_s_x0029_0" ma:index="15" nillable="true" ma:displayName="Facilitator(s)" ma:format="Dropdown" ma:internalName="Facilitator_x0028_s_x0029_0">
      <xsd:simpleType>
        <xsd:restriction base="dms:Text">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F2E1B1-2DC8-4619-BE9C-8618492B4C2B}">
  <ds:schemaRefs>
    <ds:schemaRef ds:uri="http://schemas.microsoft.com/sharepoint/v3/contenttype/forms"/>
  </ds:schemaRefs>
</ds:datastoreItem>
</file>

<file path=customXml/itemProps2.xml><?xml version="1.0" encoding="utf-8"?>
<ds:datastoreItem xmlns:ds="http://schemas.openxmlformats.org/officeDocument/2006/customXml" ds:itemID="{5D54BB2F-9A70-49B8-9D11-0FDF80AECE8D}">
  <ds:schemaRefs>
    <ds:schemaRef ds:uri="http://schemas.microsoft.com/office/2006/metadata/properties"/>
    <ds:schemaRef ds:uri="http://schemas.microsoft.com/office/infopath/2007/PartnerControls"/>
    <ds:schemaRef ds:uri="d31c4fd0-2758-4202-b5a3-c0b7c228d642"/>
  </ds:schemaRefs>
</ds:datastoreItem>
</file>

<file path=customXml/itemProps3.xml><?xml version="1.0" encoding="utf-8"?>
<ds:datastoreItem xmlns:ds="http://schemas.openxmlformats.org/officeDocument/2006/customXml" ds:itemID="{C91800D4-8D6B-4F51-867B-C5EF8D9826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8b1ad2-9ed0-4b49-b52f-6b4b41ebb7a4"/>
    <ds:schemaRef ds:uri="d31c4fd0-2758-4202-b5a3-c0b7c228d6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Shaghayegh Haghbin</dc:creator>
  <cp:keywords/>
  <dc:description/>
  <cp:lastModifiedBy>Shaghayegh Haghbin [sdwh6702]</cp:lastModifiedBy>
  <cp:revision/>
  <dcterms:created xsi:type="dcterms:W3CDTF">2023-03-07T15:38:32Z</dcterms:created>
  <dcterms:modified xsi:type="dcterms:W3CDTF">2025-05-02T11:36:27Z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0x0101000CC996791EB6F14E84F5B35446FB138A</vt:lpwstr>
  </property>
  <property fmtid="{D5CDD505-2E9C-101B-9397-08002B2CF9AE}" pid="3" name="MediaServiceImageTags">
    <vt:lpwstr/>
  </property>
</Properties>
</file>