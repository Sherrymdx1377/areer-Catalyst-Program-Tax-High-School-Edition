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8_{AB151E7B-C3E0-43B9-965D-01F85CAFB469}" xr6:coauthVersionLast="47" xr6:coauthVersionMax="47" xr10:uidLastSave="{00000000-0000-0000-0000-000000000000}"/>
  <bookViews>
    <workbookView xWindow="-108" yWindow="-108" windowWidth="23256" windowHeight="12456" xr2:uid="{54463700-BDC8-4FB6-B53B-0482E8FF82A1}"/>
  </bookViews>
  <sheets>
    <sheet name="solu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  <c r="B13" i="1"/>
  <c r="D12" i="1"/>
  <c r="E12" i="1" s="1"/>
  <c r="G12" i="1" s="1"/>
  <c r="D11" i="1"/>
  <c r="E11" i="1" s="1"/>
  <c r="G11" i="1" s="1"/>
  <c r="D10" i="1"/>
  <c r="E10" i="1" s="1"/>
  <c r="G10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I4" i="1" s="1"/>
  <c r="D3" i="1"/>
  <c r="D2" i="1"/>
  <c r="E2" i="1" s="1"/>
  <c r="I2" i="1" s="1"/>
  <c r="D13" i="1" l="1"/>
  <c r="K11" i="1" s="1"/>
  <c r="K13" i="1" s="1"/>
  <c r="E3" i="1"/>
  <c r="I3" i="1" s="1"/>
  <c r="I13" i="1" s="1"/>
</calcChain>
</file>

<file path=xl/sharedStrings.xml><?xml version="1.0" encoding="utf-8"?>
<sst xmlns="http://schemas.openxmlformats.org/spreadsheetml/2006/main" count="17" uniqueCount="17">
  <si>
    <t>Bags of Sugar  Purchased from Wholesaler</t>
  </si>
  <si>
    <t>Cost per Bag</t>
  </si>
  <si>
    <t>Total Cost</t>
  </si>
  <si>
    <t>LIFO</t>
  </si>
  <si>
    <t>FIFO</t>
  </si>
  <si>
    <t xml:space="preserve">This is the shortcut calculation where you follow the </t>
  </si>
  <si>
    <t>method showing which inventory was sold - the "out"</t>
  </si>
  <si>
    <t>in the equation, and just compute the value of the goods sold.</t>
  </si>
  <si>
    <t>$1,625  = (100*$6.50 + 100*$6.50 + 50*$6.50)</t>
  </si>
  <si>
    <t>$1,275  = (100*$5.00 + 100*$5.00 + 50*$5.50)</t>
  </si>
  <si>
    <t>Income is lower using the LIFO method, since the Cost of Goods Sold is higher in the case of rising prices.</t>
  </si>
  <si>
    <t>Average cost</t>
  </si>
  <si>
    <t>Average cost per bag=</t>
  </si>
  <si>
    <t>Solution</t>
  </si>
  <si>
    <r>
      <rPr>
        <b/>
        <i/>
        <sz val="11"/>
        <color theme="1"/>
        <rFont val="Arial"/>
        <family val="2"/>
      </rPr>
      <t xml:space="preserve">Answer: </t>
    </r>
    <r>
      <rPr>
        <sz val="11"/>
        <color theme="1"/>
        <rFont val="Arial"/>
        <family val="2"/>
      </rPr>
      <t>Under LIFO, COGS is equal to: the total cost of the 100 bags of sugar purchased from the wholesaler on 12/6/2022, plus the cost of 100 bags of sugar purchased 12/5/2022, plus the cost of 50 of the 100 bags of sugar purchased 12/4/2022.</t>
    </r>
  </si>
  <si>
    <r>
      <rPr>
        <b/>
        <i/>
        <sz val="11"/>
        <color rgb="FF111111"/>
        <rFont val="Arial"/>
        <family val="2"/>
      </rPr>
      <t xml:space="preserve">Answer: </t>
    </r>
    <r>
      <rPr>
        <sz val="11"/>
        <color rgb="FF111111"/>
        <rFont val="Arial"/>
        <family val="2"/>
      </rPr>
      <t>Under FIFO, COGS is equal to: the total cost of 100 bags of sugar purchased on 9/1/2022, plus the cost of 100 bags of sugar purchased on 10/1/2022, plus the cost of 50 of the 100 bags of sugar purchased on 10/1/2022.</t>
    </r>
  </si>
  <si>
    <t>divide the total cost of all bags by bags purchased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</si>
</sst>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  <font>
      <sz val="11"/>
      <color rgb="FF111111"/>
      <name val="Arial"/>
      <family val="2"/>
    </font>
    <font>
      <b/>
      <i/>
      <sz val="11"/>
      <color rgb="FF11111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rgb="FFD4D4D4"/>
      </right>
      <top/>
      <bottom/>
      <diagonal/>
    </border>
    <border>
      <left/>
      <right style="medium">
        <color rgb="FFD4D4D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14" fontId="3" fillId="0" borderId="1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8" fontId="3" fillId="0" borderId="2" xfId="0" applyNumberFormat="1" applyFont="1" applyBorder="1" applyAlignment="1">
      <alignment horizontal="left" vertical="center" wrapText="1"/>
    </xf>
    <xf numFmtId="6" fontId="3" fillId="0" borderId="0" xfId="0" applyNumberFormat="1" applyFont="1" applyAlignment="1">
      <alignment horizontal="left" vertical="center" wrapText="1"/>
    </xf>
    <xf numFmtId="8" fontId="3" fillId="0" borderId="0" xfId="0" applyNumberFormat="1" applyFont="1" applyAlignment="1">
      <alignment horizontal="left" vertical="center" wrapText="1"/>
    </xf>
    <xf numFmtId="0" fontId="3" fillId="0" borderId="3" xfId="0" applyFont="1" applyBorder="1"/>
    <xf numFmtId="6" fontId="3" fillId="0" borderId="3" xfId="0" applyNumberFormat="1" applyFont="1" applyBorder="1" applyAlignment="1">
      <alignment horizontal="left" vertical="center" wrapText="1"/>
    </xf>
    <xf numFmtId="0" fontId="3" fillId="0" borderId="0" xfId="0" applyFont="1"/>
    <xf numFmtId="0" fontId="5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8" fontId="3" fillId="0" borderId="7" xfId="0" applyNumberFormat="1" applyFont="1" applyBorder="1"/>
    <xf numFmtId="0" fontId="3" fillId="0" borderId="8" xfId="0" applyFont="1" applyBorder="1"/>
    <xf numFmtId="0" fontId="3" fillId="0" borderId="9" xfId="0" applyFont="1" applyBorder="1"/>
    <xf numFmtId="1" fontId="3" fillId="0" borderId="3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0C1DE-D853-43FA-A4BE-E0494DD492A3}">
  <dimension ref="A1:R25"/>
  <sheetViews>
    <sheetView tabSelected="1" zoomScale="73" zoomScaleNormal="73" workbookViewId="0">
      <selection activeCell="R22" sqref="R22"/>
    </sheetView>
  </sheetViews>
  <sheetFormatPr defaultColWidth="8.77734375" defaultRowHeight="13.8" x14ac:dyDescent="0.25"/>
  <cols>
    <col min="1" max="1" width="10.44140625" style="8" bestFit="1" customWidth="1"/>
    <col min="2" max="2" width="23.44140625" style="8" customWidth="1"/>
    <col min="3" max="3" width="22.77734375" style="8" customWidth="1"/>
    <col min="4" max="4" width="24.44140625" style="8" customWidth="1"/>
    <col min="5" max="5" width="9.109375" style="8" bestFit="1" customWidth="1"/>
    <col min="6" max="6" width="8.77734375" style="8"/>
    <col min="7" max="7" width="9.109375" style="8" bestFit="1" customWidth="1"/>
    <col min="8" max="8" width="8.77734375" style="8"/>
    <col min="9" max="9" width="9.109375" style="8" bestFit="1" customWidth="1"/>
    <col min="10" max="10" width="8.77734375" style="8"/>
    <col min="11" max="11" width="9.77734375" style="8" bestFit="1" customWidth="1"/>
    <col min="12" max="16384" width="8.77734375" style="8"/>
  </cols>
  <sheetData>
    <row r="1" spans="1:18" ht="41.4" x14ac:dyDescent="0.25">
      <c r="A1" s="10" t="s">
        <v>13</v>
      </c>
      <c r="B1" s="11" t="s">
        <v>0</v>
      </c>
      <c r="C1" s="11" t="s">
        <v>1</v>
      </c>
      <c r="D1" s="12" t="s">
        <v>2</v>
      </c>
      <c r="E1" s="13"/>
      <c r="F1" s="13"/>
      <c r="G1" s="12" t="s">
        <v>3</v>
      </c>
      <c r="H1" s="13"/>
      <c r="I1" s="14" t="s">
        <v>4</v>
      </c>
      <c r="J1" s="14"/>
      <c r="K1" s="12" t="s">
        <v>11</v>
      </c>
    </row>
    <row r="2" spans="1:18" x14ac:dyDescent="0.25">
      <c r="A2" s="1">
        <v>44805</v>
      </c>
      <c r="B2" s="2">
        <v>100</v>
      </c>
      <c r="C2" s="3">
        <v>5</v>
      </c>
      <c r="D2" s="4">
        <f t="shared" ref="D2:D12" si="0">B2*C2</f>
        <v>500</v>
      </c>
      <c r="E2" s="8">
        <f>IF($B2&gt;=F$1, $D2, 0)</f>
        <v>500</v>
      </c>
      <c r="I2" s="8">
        <f>E2</f>
        <v>500</v>
      </c>
      <c r="K2" s="15"/>
    </row>
    <row r="3" spans="1:18" x14ac:dyDescent="0.25">
      <c r="A3" s="1">
        <v>44806</v>
      </c>
      <c r="B3" s="2">
        <v>100</v>
      </c>
      <c r="C3" s="3">
        <v>5</v>
      </c>
      <c r="D3" s="4">
        <f t="shared" si="0"/>
        <v>500</v>
      </c>
      <c r="E3" s="8">
        <f t="shared" ref="E3:E12" si="1">IF($B3&gt;=F$1, $D3, 0)</f>
        <v>500</v>
      </c>
      <c r="I3" s="8">
        <f>E3</f>
        <v>500</v>
      </c>
    </row>
    <row r="4" spans="1:18" x14ac:dyDescent="0.25">
      <c r="A4" s="1">
        <v>44835</v>
      </c>
      <c r="B4" s="2">
        <v>100</v>
      </c>
      <c r="C4" s="3">
        <v>5.5</v>
      </c>
      <c r="D4" s="4">
        <f t="shared" si="0"/>
        <v>550</v>
      </c>
      <c r="E4" s="8">
        <f t="shared" si="1"/>
        <v>550</v>
      </c>
      <c r="I4" s="8">
        <f>E4/2</f>
        <v>275</v>
      </c>
    </row>
    <row r="5" spans="1:18" x14ac:dyDescent="0.25">
      <c r="A5" s="1">
        <v>44846</v>
      </c>
      <c r="B5" s="2">
        <v>0</v>
      </c>
      <c r="C5" s="3">
        <v>5.5</v>
      </c>
      <c r="D5" s="4">
        <f t="shared" si="0"/>
        <v>0</v>
      </c>
      <c r="E5" s="8">
        <f t="shared" si="1"/>
        <v>0</v>
      </c>
      <c r="L5" s="8" t="s">
        <v>5</v>
      </c>
    </row>
    <row r="6" spans="1:18" x14ac:dyDescent="0.25">
      <c r="A6" s="1">
        <v>44866</v>
      </c>
      <c r="B6" s="2">
        <v>100</v>
      </c>
      <c r="C6" s="3">
        <v>6</v>
      </c>
      <c r="D6" s="4">
        <f t="shared" si="0"/>
        <v>600</v>
      </c>
      <c r="E6" s="8">
        <f t="shared" si="1"/>
        <v>600</v>
      </c>
      <c r="L6" s="8" t="s">
        <v>6</v>
      </c>
    </row>
    <row r="7" spans="1:18" x14ac:dyDescent="0.25">
      <c r="A7" s="1">
        <v>44867</v>
      </c>
      <c r="B7" s="2">
        <v>100</v>
      </c>
      <c r="C7" s="3">
        <v>6</v>
      </c>
      <c r="D7" s="4">
        <f t="shared" si="0"/>
        <v>600</v>
      </c>
      <c r="E7" s="8">
        <f t="shared" si="1"/>
        <v>600</v>
      </c>
      <c r="L7" s="8" t="s">
        <v>7</v>
      </c>
    </row>
    <row r="8" spans="1:18" x14ac:dyDescent="0.25">
      <c r="A8" s="1">
        <v>44868</v>
      </c>
      <c r="B8" s="2">
        <v>100</v>
      </c>
      <c r="C8" s="3">
        <v>6.5</v>
      </c>
      <c r="D8" s="4">
        <f t="shared" si="0"/>
        <v>650</v>
      </c>
      <c r="E8" s="8">
        <f t="shared" si="1"/>
        <v>650</v>
      </c>
    </row>
    <row r="9" spans="1:18" x14ac:dyDescent="0.25">
      <c r="A9" s="1">
        <v>44898</v>
      </c>
      <c r="B9" s="2">
        <v>100</v>
      </c>
      <c r="C9" s="3">
        <v>6.5</v>
      </c>
      <c r="D9" s="4">
        <f t="shared" si="0"/>
        <v>650</v>
      </c>
      <c r="E9" s="8">
        <f t="shared" si="1"/>
        <v>650</v>
      </c>
      <c r="H9" s="5"/>
      <c r="I9" s="4"/>
      <c r="J9" s="4"/>
    </row>
    <row r="10" spans="1:18" x14ac:dyDescent="0.25">
      <c r="A10" s="1">
        <v>44899</v>
      </c>
      <c r="B10" s="2">
        <v>100</v>
      </c>
      <c r="C10" s="3">
        <v>6.5</v>
      </c>
      <c r="D10" s="4">
        <f t="shared" si="0"/>
        <v>650</v>
      </c>
      <c r="E10" s="8">
        <f t="shared" si="1"/>
        <v>650</v>
      </c>
      <c r="G10" s="8">
        <f>E10/2</f>
        <v>325</v>
      </c>
      <c r="K10" s="16" t="s">
        <v>12</v>
      </c>
      <c r="L10" s="17"/>
      <c r="M10" s="17"/>
      <c r="N10" s="17" t="s">
        <v>16</v>
      </c>
      <c r="O10" s="17"/>
      <c r="P10" s="17"/>
      <c r="Q10" s="17"/>
      <c r="R10" s="18"/>
    </row>
    <row r="11" spans="1:18" x14ac:dyDescent="0.25">
      <c r="A11" s="1">
        <v>44900</v>
      </c>
      <c r="B11" s="2">
        <v>100</v>
      </c>
      <c r="C11" s="3">
        <v>6.5</v>
      </c>
      <c r="D11" s="4">
        <f t="shared" si="0"/>
        <v>650</v>
      </c>
      <c r="E11" s="8">
        <f t="shared" si="1"/>
        <v>650</v>
      </c>
      <c r="G11" s="8">
        <f>E11</f>
        <v>650</v>
      </c>
      <c r="K11" s="19">
        <f>D13/B13</f>
        <v>6</v>
      </c>
      <c r="L11" s="20"/>
      <c r="M11" s="20"/>
      <c r="N11" s="20"/>
      <c r="O11" s="20"/>
      <c r="P11" s="20"/>
      <c r="Q11" s="20"/>
      <c r="R11" s="21"/>
    </row>
    <row r="12" spans="1:18" x14ac:dyDescent="0.25">
      <c r="A12" s="1">
        <v>44901</v>
      </c>
      <c r="B12" s="2">
        <v>100</v>
      </c>
      <c r="C12" s="3">
        <v>6.5</v>
      </c>
      <c r="D12" s="4">
        <f t="shared" si="0"/>
        <v>650</v>
      </c>
      <c r="E12" s="8">
        <f t="shared" si="1"/>
        <v>650</v>
      </c>
      <c r="G12" s="8">
        <f>E12</f>
        <v>650</v>
      </c>
    </row>
    <row r="13" spans="1:18" ht="14.4" thickBot="1" x14ac:dyDescent="0.3">
      <c r="B13" s="6">
        <f>SUM(B2:B12)</f>
        <v>1000</v>
      </c>
      <c r="D13" s="7">
        <f>SUM(D2:D12)</f>
        <v>6000</v>
      </c>
      <c r="G13" s="6">
        <f>SUM(G2:G12)</f>
        <v>1625</v>
      </c>
      <c r="H13" s="6"/>
      <c r="I13" s="6">
        <f>SUM(I2:I12)</f>
        <v>1275</v>
      </c>
      <c r="J13" s="6"/>
      <c r="K13" s="22">
        <f>250*K11</f>
        <v>1500</v>
      </c>
    </row>
    <row r="14" spans="1:18" ht="14.4" thickTop="1" x14ac:dyDescent="0.25"/>
    <row r="18" spans="4:4" x14ac:dyDescent="0.25">
      <c r="D18" s="8" t="s">
        <v>14</v>
      </c>
    </row>
    <row r="19" spans="4:4" x14ac:dyDescent="0.25">
      <c r="D19" s="8" t="s">
        <v>8</v>
      </c>
    </row>
    <row r="21" spans="4:4" x14ac:dyDescent="0.25">
      <c r="D21" s="9" t="s">
        <v>15</v>
      </c>
    </row>
    <row r="22" spans="4:4" x14ac:dyDescent="0.25">
      <c r="D22" s="8" t="s">
        <v>9</v>
      </c>
    </row>
    <row r="25" spans="4:4" x14ac:dyDescent="0.25">
      <c r="D25" s="8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475BDF5EA7114B88041C3110AC7E08" ma:contentTypeVersion="6" ma:contentTypeDescription="Create a new document." ma:contentTypeScope="" ma:versionID="9ad9685cdac21e065dbc8fabc780fc0f">
  <xsd:schema xmlns:xsd="http://www.w3.org/2001/XMLSchema" xmlns:xs="http://www.w3.org/2001/XMLSchema" xmlns:p="http://schemas.microsoft.com/office/2006/metadata/properties" xmlns:ns3="03e6a0b9-b693-4579-af0a-a4f1e0a40b01" targetNamespace="http://schemas.microsoft.com/office/2006/metadata/properties" ma:root="true" ma:fieldsID="c2efbb951fcfad99dd1e381fa9307f24" ns3:_="">
    <xsd:import namespace="03e6a0b9-b693-4579-af0a-a4f1e0a40b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e6a0b9-b693-4579-af0a-a4f1e0a40b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34F613-3CA9-4D13-8898-BD9CC816C7DD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03e6a0b9-b693-4579-af0a-a4f1e0a40b01"/>
  </ds:schemaRefs>
</ds:datastoreItem>
</file>

<file path=customXml/itemProps2.xml><?xml version="1.0" encoding="utf-8"?>
<ds:datastoreItem xmlns:ds="http://schemas.openxmlformats.org/officeDocument/2006/customXml" ds:itemID="{C3985584-FA6D-40F5-A6D4-C7F3969ED9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E4234C-3886-4190-BD80-28A0A4049B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e6a0b9-b693-4579-af0a-a4f1e0a40b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Barrus</dc:creator>
  <cp:lastModifiedBy>Shaghayegh Haghbin [sdwh6702]</cp:lastModifiedBy>
  <dcterms:created xsi:type="dcterms:W3CDTF">2024-01-15T17:19:36Z</dcterms:created>
  <dcterms:modified xsi:type="dcterms:W3CDTF">2025-05-02T11:23:40Z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0x010100AA475BDF5EA7114B88041C3110AC7E08</vt:lpwstr>
  </property>
</Properties>
</file>